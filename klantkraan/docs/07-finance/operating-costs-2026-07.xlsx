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urrent costs" sheetId="2" state="visible" r:id="rId2"/>
    <sheet xmlns:r="http://schemas.openxmlformats.org/officeDocument/2006/relationships" name="COGS per client" sheetId="3" state="visible" r:id="rId3"/>
    <sheet xmlns:r="http://schemas.openxmlformats.org/officeDocument/2006/relationships" name="At scale" sheetId="4" state="visible" r:id="rId4"/>
    <sheet xmlns:r="http://schemas.openxmlformats.org/officeDocument/2006/relationships" name="Triggers &amp; breakev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€&quot;#,##0"/>
    <numFmt numFmtId="165" formatCode="0.0%"/>
    <numFmt numFmtId="166" formatCode="&quot;€&quot;#,##0.0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  <color rgb="00FFB84D"/>
    </font>
    <font>
      <i val="1"/>
      <color rgb="00666666"/>
      <sz val="9"/>
    </font>
    <font>
      <b val="1"/>
      <sz val="13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0F1C1E"/>
      </patternFill>
    </fill>
    <fill>
      <patternFill patternType="solid">
        <fgColor rgb="00FFF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3" borderId="0" pivotButton="0" quotePrefix="0" xfId="0"/>
    <xf numFmtId="0" fontId="4" fillId="2" borderId="0" pivotButton="0" quotePrefix="0" xfId="0"/>
    <xf numFmtId="165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>
      <c r="A1" s="1" t="inlineStr">
        <is>
          <t>Klantkraan — operating costs, today and at scale</t>
        </is>
      </c>
    </row>
    <row r="2">
      <c r="A2" s="2" t="inlineStr">
        <is>
          <t>Internal — finance · 28 July 2026 · Chat €299 / Compleet €499 pricing</t>
        </is>
      </c>
    </row>
    <row r="4">
      <c r="A4" s="3" t="inlineStr">
        <is>
          <t>Headline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Note</t>
        </is>
      </c>
    </row>
    <row r="6">
      <c r="A6" t="inlineStr">
        <is>
          <t>Cash burn / month today</t>
        </is>
      </c>
      <c r="B6" s="5">
        <f>'Current costs'!C11</f>
        <v/>
      </c>
      <c r="C6" t="inlineStr">
        <is>
          <t>Sum of current monthly costs (point estimates)</t>
        </is>
      </c>
    </row>
    <row r="7">
      <c r="A7" t="inlineStr">
        <is>
          <t>Cost per chat client / month</t>
        </is>
      </c>
      <c r="B7" s="5">
        <f>'COGS per client'!B8</f>
        <v/>
      </c>
      <c r="C7" t="inlineStr">
        <is>
          <t>COGS, chat tier</t>
        </is>
      </c>
    </row>
    <row r="8">
      <c r="A8" t="inlineStr">
        <is>
          <t>Gross margin on chat tier</t>
        </is>
      </c>
      <c r="B8" s="6">
        <f>'COGS per client'!B9</f>
        <v/>
      </c>
      <c r="C8" t="inlineStr">
        <is>
          <t>At €299/mo</t>
        </is>
      </c>
    </row>
    <row r="9">
      <c r="A9" t="inlineStr">
        <is>
          <t>Founder hours / month today</t>
        </is>
      </c>
      <c r="B9" s="7" t="n">
        <v>108</v>
      </c>
      <c r="C9" t="inlineStr">
        <is>
          <t>~25 h/wk front-loaded build phase</t>
        </is>
      </c>
    </row>
    <row r="11">
      <c r="A11" s="8" t="inlineStr">
        <is>
          <t>The constraint is not cost. At ~97% gross margin and &lt;1-month CAC payback, economics scale almost for free — roughly €10 per added chat client. What scaling actually costs is labor: the VA → SDR → engineer ladder keeps founder time at ~12 h/wk while the client book grows from 10 to 60+.</t>
        </is>
      </c>
    </row>
    <row r="12"/>
    <row r="13"/>
    <row r="15">
      <c r="A15" s="9" t="inlineStr">
        <is>
          <t>Sources: 07-finance/cogs-per-tier.md, unit-economics.md, first-hire-triggers.md, mrr-projections.md (herzien 2026-07-13); research/synthflow-margin-model.md (2026-07-21); live infra state per ops server. COGS figures are conservative estimates pending real usage data.</t>
        </is>
      </c>
    </row>
    <row r="16"/>
  </sheetData>
  <mergeCells count="2">
    <mergeCell ref="A15:C16"/>
    <mergeCell ref="A11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4" customWidth="1" min="3" max="3"/>
  </cols>
  <sheetData>
    <row r="1">
      <c r="A1" s="10" t="inlineStr">
        <is>
          <t>Current monthly costs (July 2026)</t>
        </is>
      </c>
    </row>
    <row r="3">
      <c r="A3" s="4" t="inlineStr">
        <is>
          <t>Item</t>
        </is>
      </c>
      <c r="B3" s="4" t="inlineStr">
        <is>
          <t>Detail</t>
        </is>
      </c>
      <c r="C3" s="4" t="inlineStr">
        <is>
          <t>€ / month</t>
        </is>
      </c>
    </row>
    <row r="4">
      <c r="A4" t="inlineStr">
        <is>
          <t>Hetzner cx23 server</t>
        </is>
      </c>
      <c r="B4" s="8" t="inlineStr">
        <is>
          <t>Runs receptionist demo + growth-engine ×2, capacity ~30 clients</t>
        </is>
      </c>
      <c r="C4" s="11" t="n">
        <v>6.64</v>
      </c>
    </row>
    <row r="5">
      <c r="A5" t="inlineStr">
        <is>
          <t>Google Workspace</t>
        </is>
      </c>
      <c r="B5" s="8" t="inlineStr">
        <is>
          <t>davy@klantkraan.nl business email</t>
        </is>
      </c>
      <c r="C5" s="11" t="n">
        <v>7</v>
      </c>
    </row>
    <row r="6">
      <c r="A6" t="inlineStr">
        <is>
          <t>Anthropic API</t>
        </is>
      </c>
      <c r="B6" s="8" t="inlineStr">
        <is>
          <t>Demo chats, content drafts, nightly analyst — usage-based (range €5–15)</t>
        </is>
      </c>
      <c r="C6" s="11" t="n">
        <v>10</v>
      </c>
    </row>
    <row r="7">
      <c r="A7" t="inlineStr">
        <is>
          <t>Domain klantkraan.nl</t>
        </is>
      </c>
      <c r="B7" s="8" t="inlineStr">
        <is>
          <t>Annual, amortised</t>
        </is>
      </c>
      <c r="C7" s="11" t="n">
        <v>1</v>
      </c>
    </row>
    <row r="8">
      <c r="A8" t="inlineStr">
        <is>
          <t>Twilio WhatsApp</t>
        </is>
      </c>
      <c r="B8" s="8" t="inlineStr">
        <is>
          <t>Sandbox — near-zero until production number</t>
        </is>
      </c>
      <c r="C8" s="11" t="n">
        <v>0</v>
      </c>
    </row>
    <row r="9">
      <c r="A9" t="inlineStr">
        <is>
          <t>Cloudflare Pages, Telegram, X / Meta / TikTok APIs</t>
        </is>
      </c>
      <c r="B9" s="8" t="inlineStr">
        <is>
          <t>Free tiers</t>
        </is>
      </c>
      <c r="C9" s="11" t="n">
        <v>0</v>
      </c>
    </row>
    <row r="11">
      <c r="A11" s="12" t="inlineStr">
        <is>
          <t>Total cash</t>
        </is>
      </c>
      <c r="B11" s="13" t="inlineStr">
        <is>
          <t>PDF shows ~€20–30; midpoint of usage range used here</t>
        </is>
      </c>
      <c r="C11" s="14">
        <f>SUM(C4:C9)</f>
        <v/>
      </c>
    </row>
    <row r="14">
      <c r="A14" s="10" t="inlineStr">
        <is>
          <t>Current labor (founder)</t>
        </is>
      </c>
    </row>
    <row r="15">
      <c r="A15" s="4" t="inlineStr">
        <is>
          <t>Who</t>
        </is>
      </c>
      <c r="B15" s="4" t="inlineStr">
        <is>
          <t>Detail</t>
        </is>
      </c>
      <c r="C15" s="4" t="inlineStr">
        <is>
          <t>Value / month</t>
        </is>
      </c>
    </row>
    <row r="16">
      <c r="A16" t="inlineStr">
        <is>
          <t>Founder — build, content, sales</t>
        </is>
      </c>
      <c r="B16" s="8" t="inlineStr">
        <is>
          <t>~108 h/mo (~25 h/wk front-loaded build phase; drops to 12–15 h/wk from first clients)</t>
        </is>
      </c>
      <c r="C16" s="5">
        <f>108*B19</f>
        <v/>
      </c>
    </row>
    <row r="17">
      <c r="A17" s="12" t="inlineStr">
        <is>
          <t>Total incl. labor</t>
        </is>
      </c>
      <c r="B17" s="13" t="inlineStr">
        <is>
          <t>Cash + imputed founder time</t>
        </is>
      </c>
      <c r="C17" s="15">
        <f>C11+C16</f>
        <v/>
      </c>
    </row>
    <row r="19">
      <c r="A19" t="inlineStr">
        <is>
          <t>Founder hourly rate (editable)</t>
        </is>
      </c>
      <c r="B19" s="16" t="n">
        <v>50</v>
      </c>
    </row>
    <row r="20">
      <c r="A20" s="9" t="inlineStr">
        <is>
          <t>Founder time valued at €50/h (opportunity-cost midpoint; market alternative ≈ €85/h contract rate). Unpaid today — sweat equity, not cash out. The plan starts a €3,500/mo founder draw around month 6 (~€4,700 MRR).</t>
        </is>
      </c>
    </row>
    <row r="21"/>
  </sheetData>
  <mergeCells count="1">
    <mergeCell ref="A20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6" customWidth="1" min="3" max="3"/>
    <col width="40" customWidth="1" min="4" max="4"/>
    <col width="14" customWidth="1" min="5" max="5"/>
  </cols>
  <sheetData>
    <row r="1">
      <c r="A1" s="10" t="inlineStr">
        <is>
          <t>Cost per client served (COGS)</t>
        </is>
      </c>
    </row>
    <row r="3">
      <c r="A3" s="4" t="inlineStr">
        <is>
          <t>CHAT — €299/mo</t>
        </is>
      </c>
      <c r="B3" s="4" t="inlineStr">
        <is>
          <t>€ / month</t>
        </is>
      </c>
      <c r="D3" s="17" t="inlineStr">
        <is>
          <t>VOICE (COMPLEET) — €499/mo via Synthflow</t>
        </is>
      </c>
      <c r="E3" s="17" t="inlineStr">
        <is>
          <t>Value</t>
        </is>
      </c>
    </row>
    <row r="4">
      <c r="A4" t="inlineStr">
        <is>
          <t>Claude API (~300 conversations)</t>
        </is>
      </c>
      <c r="B4" s="11" t="n">
        <v>3</v>
      </c>
      <c r="D4" s="8" t="inlineStr">
        <is>
          <t>All-in per minute (STT+TTS+LLM+telephony)</t>
        </is>
      </c>
      <c r="E4" s="11" t="n">
        <v>0.14</v>
      </c>
    </row>
    <row r="5">
      <c r="A5" t="inlineStr">
        <is>
          <t>WhatsApp Business API fees</t>
        </is>
      </c>
      <c r="B5" s="11" t="n">
        <v>3</v>
      </c>
      <c r="D5" s="8" t="inlineStr">
        <is>
          <t>Included minutes</t>
        </is>
      </c>
      <c r="E5" s="7" t="n">
        <v>750</v>
      </c>
    </row>
    <row r="6">
      <c r="A6" t="inlineStr">
        <is>
          <t>Server share + Mollie SEPA</t>
        </is>
      </c>
      <c r="B6" s="11" t="n">
        <v>0.75</v>
      </c>
      <c r="D6" s="12" t="inlineStr">
        <is>
          <t>COGS at included minutes</t>
        </is>
      </c>
      <c r="E6" s="5">
        <f>E4*E5</f>
        <v/>
      </c>
    </row>
    <row r="7">
      <c r="A7" t="inlineStr">
        <is>
          <t>Monitoring + buffer</t>
        </is>
      </c>
      <c r="B7" s="11" t="n">
        <v>3.25</v>
      </c>
      <c r="D7" s="12" t="inlineStr">
        <is>
          <t>Margin at €499 / 750 min (€0.40/min overage)</t>
        </is>
      </c>
      <c r="E7" s="6">
        <f>(499-E6)/499</f>
        <v/>
      </c>
    </row>
    <row r="8">
      <c r="A8" s="12" t="inlineStr">
        <is>
          <t>COGS total</t>
        </is>
      </c>
      <c r="B8" s="14">
        <f>SUM(B4:B7)</f>
        <v/>
      </c>
      <c r="D8" s="9" t="inlineStr">
        <is>
          <t>Never flat-rate voice: a busy month (2,500 min) drops a flat €499 to ~30% margin. The €0.40/min overage structure holds ≥70% at every volume. PDF quotes 71–79% across scenarios.</t>
        </is>
      </c>
    </row>
    <row r="9">
      <c r="A9" s="12" t="inlineStr">
        <is>
          <t>Gross margin at €299</t>
        </is>
      </c>
      <c r="B9" s="18">
        <f>(299-B8)/299</f>
        <v/>
      </c>
    </row>
    <row r="10"/>
    <row r="12">
      <c r="A12" s="9" t="inlineStr">
        <is>
          <t>Also per client: ~2 h founder setup time (covered by the €249 one-time setup fee) and a dedicated WhatsApp number (~€1.50/mo). Add roughly €10/mo per chat client and ~€106/mo per voice client on top of the fixed base.</t>
        </is>
      </c>
    </row>
    <row r="13"/>
  </sheetData>
  <mergeCells count="2">
    <mergeCell ref="D8:E10"/>
    <mergeCell ref="A12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3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</cols>
  <sheetData>
    <row r="1">
      <c r="A1" s="10" t="inlineStr">
        <is>
          <t>Monthly costs at scale — by stage (incl. labor)</t>
        </is>
      </c>
    </row>
    <row r="3">
      <c r="A3" s="4" t="inlineStr">
        <is>
          <t>Stage</t>
        </is>
      </c>
      <c r="B3" s="4" t="inlineStr">
        <is>
          <t>Clients</t>
        </is>
      </c>
      <c r="C3" s="4" t="inlineStr">
        <is>
          <t>MRR</t>
        </is>
      </c>
      <c r="D3" s="4" t="inlineStr">
        <is>
          <t>Infra + tools</t>
        </is>
      </c>
      <c r="E3" s="4" t="inlineStr">
        <is>
          <t>COGS</t>
        </is>
      </c>
      <c r="F3" s="4" t="inlineStr">
        <is>
          <t>Hires</t>
        </is>
      </c>
      <c r="G3" s="4" t="inlineStr">
        <is>
          <t>Cash total</t>
        </is>
      </c>
      <c r="H3" s="4" t="inlineStr">
        <is>
          <t>Founder h/wk</t>
        </is>
      </c>
      <c r="I3" s="4" t="inlineStr">
        <is>
          <t>Incl. founder*</t>
        </is>
      </c>
    </row>
    <row r="4">
      <c r="A4" t="inlineStr">
        <is>
          <t>Today — pre-revenue</t>
        </is>
      </c>
      <c r="B4" t="n">
        <v>0</v>
      </c>
      <c r="C4" s="5" t="n">
        <v>0</v>
      </c>
      <c r="D4" s="5" t="n">
        <v>30</v>
      </c>
      <c r="E4" s="5" t="n">
        <v>0</v>
      </c>
      <c r="F4" t="inlineStr">
        <is>
          <t>—</t>
        </is>
      </c>
      <c r="G4" s="5">
        <f>D4+E4+0</f>
        <v/>
      </c>
      <c r="H4" t="inlineStr">
        <is>
          <t>~25</t>
        </is>
      </c>
      <c r="I4" s="5" t="n">
        <v>5400</v>
      </c>
    </row>
    <row r="5">
      <c r="A5" t="inlineStr">
        <is>
          <t>First clients</t>
        </is>
      </c>
      <c r="B5" t="n">
        <v>10</v>
      </c>
      <c r="C5" s="5" t="n">
        <v>3000</v>
      </c>
      <c r="D5" s="5" t="n">
        <v>200</v>
      </c>
      <c r="E5" s="5" t="n">
        <v>100</v>
      </c>
      <c r="F5" t="inlineStr">
        <is>
          <t>—</t>
        </is>
      </c>
      <c r="G5" s="5">
        <f>D5+E5+0</f>
        <v/>
      </c>
      <c r="H5" t="inlineStr">
        <is>
          <t>12–15</t>
        </is>
      </c>
      <c r="I5" s="5" t="n">
        <v>3200</v>
      </c>
    </row>
    <row r="6">
      <c r="A6" t="inlineStr">
        <is>
          <t>Post-VA</t>
        </is>
      </c>
      <c r="B6" t="n">
        <v>22</v>
      </c>
      <c r="C6" s="5" t="n">
        <v>5800</v>
      </c>
      <c r="D6" s="5" t="n">
        <v>300</v>
      </c>
      <c r="E6" s="5" t="n">
        <v>220</v>
      </c>
      <c r="F6" t="inlineStr">
        <is>
          <t>€600 VA</t>
        </is>
      </c>
      <c r="G6" s="5">
        <f>D6+E6+600</f>
        <v/>
      </c>
      <c r="H6" t="inlineStr">
        <is>
          <t>12</t>
        </is>
      </c>
      <c r="I6" s="5" t="n">
        <v>3700</v>
      </c>
    </row>
    <row r="7">
      <c r="A7" t="inlineStr">
        <is>
          <t>Post-SDR + ads</t>
        </is>
      </c>
      <c r="B7" t="n">
        <v>50</v>
      </c>
      <c r="C7" s="5" t="n">
        <v>15000</v>
      </c>
      <c r="D7" s="5" t="n">
        <v>950</v>
      </c>
      <c r="E7" s="5" t="n">
        <v>500</v>
      </c>
      <c r="F7" t="inlineStr">
        <is>
          <t>€2,700 VA+SDR</t>
        </is>
      </c>
      <c r="G7" s="5">
        <f>D7+E7+2700</f>
        <v/>
      </c>
      <c r="H7" t="inlineStr">
        <is>
          <t>12</t>
        </is>
      </c>
      <c r="I7" s="5" t="n">
        <v>6800</v>
      </c>
    </row>
    <row r="8">
      <c r="A8" t="inlineStr">
        <is>
          <t>Post-engineer</t>
        </is>
      </c>
      <c r="B8" t="n">
        <v>85</v>
      </c>
      <c r="C8" s="5" t="n">
        <v>25000</v>
      </c>
      <c r="D8" s="5" t="n">
        <v>960</v>
      </c>
      <c r="E8" s="5" t="n">
        <v>700</v>
      </c>
      <c r="F8" t="inlineStr">
        <is>
          <t>€6,000 VA+SDR+eng</t>
        </is>
      </c>
      <c r="G8" s="5">
        <f>D8+E8+6000</f>
        <v/>
      </c>
      <c r="H8" t="inlineStr">
        <is>
          <t>12</t>
        </is>
      </c>
      <c r="I8" s="5" t="n">
        <v>10300</v>
      </c>
    </row>
    <row r="10">
      <c r="A10" s="9" t="inlineStr">
        <is>
          <t>*Founder time at €50/h; replaced by the €3,500/mo draw once it starts (~month 6). SDR figure includes ~10% commission on sourced deals. COGS assumes chat-only mix; each voice client adds ~€96 over a chat client and ~€200 revenue. Infra grows one €6.64 server per ~30 clients. Post-engineer stage: 60–85 clients (85 shown). Cash total = Infra + COGS + hires (live formula).</t>
        </is>
      </c>
    </row>
    <row r="11"/>
    <row r="12"/>
  </sheetData>
  <mergeCells count="1">
    <mergeCell ref="A10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  <col width="20" customWidth="1" min="3" max="3"/>
  </cols>
  <sheetData>
    <row r="1">
      <c r="A1" s="10" t="inlineStr">
        <is>
          <t>What scaling adds — trigger ladder</t>
        </is>
      </c>
    </row>
    <row r="3">
      <c r="A3" s="4" t="inlineStr">
        <is>
          <t>Trigger</t>
        </is>
      </c>
      <c r="B3" s="4" t="inlineStr">
        <is>
          <t>What it adds</t>
        </is>
      </c>
      <c r="C3" s="4" t="inlineStr">
        <is>
          <t>Cost</t>
        </is>
      </c>
    </row>
    <row r="4">
      <c r="A4" s="19" t="inlineStr">
        <is>
          <t>Going live (first paying clients)</t>
        </is>
      </c>
      <c r="B4" s="19" t="inlineStr">
        <is>
          <t>Twilio WhatsApp production number (NL regulatory bundle or BYO prepaid SIM); Mollie billing (per-transaction only)</t>
        </is>
      </c>
      <c r="C4" s="20" t="inlineStr">
        <is>
          <t>~€20/mo</t>
        </is>
      </c>
    </row>
    <row r="5">
      <c r="A5" s="19" t="inlineStr">
        <is>
          <t>~10 clients (compliance checkpoint)</t>
        </is>
      </c>
      <c r="B5" s="19" t="inlineStr">
        <is>
          <t>One-pass privacy-lawyer review; business insurance stack; EU AI Act legal review (one-off €2–3k against year 1); build the deferred /admin panel + ROI reports</t>
        </is>
      </c>
      <c r="C5" s="20" t="inlineStr">
        <is>
          <t>+€150/mo + one-offs</t>
        </is>
      </c>
    </row>
    <row r="6">
      <c r="A6" s="19" t="inlineStr">
        <is>
          <t>12 active clients (~month 5–6)</t>
        </is>
      </c>
      <c r="B6" s="19" t="inlineStr">
        <is>
          <t>Hire #1 — VA, 30 h/mo: onboarding ops, QA, monitoring. Averts the founder-time wall at ~22 clients</t>
        </is>
      </c>
      <c r="C6" s="20" t="inlineStr">
        <is>
          <t>€600/mo</t>
        </is>
      </c>
    </row>
    <row r="7">
      <c r="A7" s="19" t="inlineStr">
        <is>
          <t>€15k MRR (~month 11)</t>
        </is>
      </c>
      <c r="B7" s="19" t="inlineStr">
        <is>
          <t>Hire #2 — freelance SDR + 10% commission; optionally switch on Google Ads (€400) and the outbound tool stack (€146)</t>
        </is>
      </c>
      <c r="C7" s="20" t="inlineStr">
        <is>
          <t>€1.5–2k/mo</t>
        </is>
      </c>
    </row>
    <row r="8">
      <c r="A8" s="19" t="inlineStr">
        <is>
          <t>€25k MRR or voice backlog</t>
        </is>
      </c>
      <c r="B8" s="19" t="inlineStr">
        <is>
          <t>Hire #3 — part-time engineer (1–2 d/wk): voice hardening, ERP/calendar integrations</t>
        </is>
      </c>
      <c r="C8" s="20" t="inlineStr">
        <is>
          <t>€2.5–4k/mo</t>
        </is>
      </c>
    </row>
    <row r="9">
      <c r="A9" s="19" t="inlineStr">
        <is>
          <t>~10 voice clients</t>
        </is>
      </c>
      <c r="B9" s="19" t="inlineStr">
        <is>
          <t>Revisit Synthflow white-label (~$2k/mo, breaks even ~6 clients) or Enterprise tier — lowers per-minute COGS above ~10k min/mo</t>
        </is>
      </c>
      <c r="C9" s="20" t="inlineStr">
        <is>
          <t>optional</t>
        </is>
      </c>
    </row>
    <row r="10">
      <c r="A10" s="19" t="inlineStr">
        <is>
          <t>BV conversion</t>
        </is>
      </c>
      <c r="B10" s="19" t="inlineStr">
        <is>
          <t>NL accountant at incorporation; Moneybird (€12/mo) suffices until then</t>
        </is>
      </c>
      <c r="C10" s="20" t="inlineStr">
        <is>
          <t>€1.5–2.5k/yr</t>
        </is>
      </c>
    </row>
    <row r="13">
      <c r="A13" s="10" t="inlineStr">
        <is>
          <t>Breakeven checkpoints</t>
        </is>
      </c>
    </row>
    <row r="14">
      <c r="A14" s="4" t="inlineStr">
        <is>
          <t>Covers</t>
        </is>
      </c>
      <c r="B14" s="4" t="inlineStr">
        <is>
          <t>MRR needed</t>
        </is>
      </c>
      <c r="C14" s="4" t="inlineStr">
        <is>
          <t>≈ clients</t>
        </is>
      </c>
    </row>
    <row r="15">
      <c r="A15" t="inlineStr">
        <is>
          <t>Today's real cash burn (~€30/mo)</t>
        </is>
      </c>
      <c r="B15" s="5" t="n">
        <v>30</v>
      </c>
      <c r="C15" t="n">
        <v>1</v>
      </c>
    </row>
    <row r="16">
      <c r="A16" t="inlineStr">
        <is>
          <t>Fully-loaded modeled overhead incl. ads (~€950/mo)</t>
        </is>
      </c>
      <c r="B16" s="5" t="n">
        <v>1000</v>
      </c>
      <c r="C16" t="n">
        <v>4</v>
      </c>
    </row>
    <row r="17">
      <c r="A17" t="inlineStr">
        <is>
          <t>Overhead + €3,500/mo founder draw</t>
        </is>
      </c>
      <c r="B17" s="5" t="n">
        <v>4700</v>
      </c>
      <c r="C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2026-07-28T13:35:05Z</dcterms:created>
  <dcterms:modified xmlns:dcterms="http://purl.org/dc/terms/" xmlns:xsi="http://www.w3.org/2001/XMLSchema-instance" xsi:type="dcterms:W3CDTF">2026-07-28T13:35:05Z</dcterms:modified>
</cp:coreProperties>
</file>